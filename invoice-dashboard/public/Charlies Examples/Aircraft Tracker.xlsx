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charlie/Desktop/"/>
    </mc:Choice>
  </mc:AlternateContent>
  <xr:revisionPtr revIDLastSave="0" documentId="13_ncr:1_{71B81636-4191-BF44-B7A1-8F188FAF97D3}" xr6:coauthVersionLast="47" xr6:coauthVersionMax="47" xr10:uidLastSave="{00000000-0000-0000-0000-000000000000}"/>
  <bookViews>
    <workbookView xWindow="0" yWindow="800" windowWidth="30240" windowHeight="17160" xr2:uid="{00000000-000D-0000-FFFF-FFFF00000000}"/>
  </bookViews>
  <sheets>
    <sheet name="Aircraft Tracker" sheetId="3" r:id="rId1"/>
    <sheet name="Sheet1" sheetId="4" r:id="rId2"/>
  </sheets>
  <definedNames>
    <definedName name="_xlnm._FilterDatabase" localSheetId="0" hidden="1">'Aircraft Tracker'!$A$1:$P$37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mfubf/5lyByajBgOjkovBf/TxXhBBTDDKk1o9WJWMRs="/>
    </ext>
  </extLst>
</workbook>
</file>

<file path=xl/calcChain.xml><?xml version="1.0" encoding="utf-8"?>
<calcChain xmlns="http://schemas.openxmlformats.org/spreadsheetml/2006/main">
  <c r="O7" i="3" l="1"/>
  <c r="O6" i="3"/>
  <c r="O5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9" i="3"/>
  <c r="O2" i="3"/>
  <c r="O13" i="3"/>
  <c r="O12" i="3"/>
  <c r="O11" i="3"/>
  <c r="O10" i="3"/>
</calcChain>
</file>

<file path=xl/sharedStrings.xml><?xml version="1.0" encoding="utf-8"?>
<sst xmlns="http://schemas.openxmlformats.org/spreadsheetml/2006/main" count="558" uniqueCount="138">
  <si>
    <t>Tail Number</t>
  </si>
  <si>
    <t>Aircraft Type</t>
  </si>
  <si>
    <t>Validation Complete</t>
  </si>
  <si>
    <t>Beta Tested</t>
  </si>
  <si>
    <t>Go-Live Approved</t>
  </si>
  <si>
    <t>Genesis Removed</t>
  </si>
  <si>
    <t>Overall Status</t>
  </si>
  <si>
    <t>Notes</t>
  </si>
  <si>
    <t>N371BD</t>
  </si>
  <si>
    <t>Challenger 300</t>
  </si>
  <si>
    <t>Yes</t>
  </si>
  <si>
    <t>No</t>
  </si>
  <si>
    <t>PDC is turned off, why?</t>
  </si>
  <si>
    <t>Standard Rafts are two in the Galley</t>
  </si>
  <si>
    <t>N883TR</t>
  </si>
  <si>
    <t>Awaiting Starlink Install.</t>
  </si>
  <si>
    <t>N416F</t>
  </si>
  <si>
    <t>Couch (2 lift rafts by couch and one galley)</t>
  </si>
  <si>
    <t>N519FX</t>
  </si>
  <si>
    <t>N520FX</t>
  </si>
  <si>
    <t>N521FX</t>
  </si>
  <si>
    <t>N552FX</t>
  </si>
  <si>
    <t>N553FX</t>
  </si>
  <si>
    <t>YES</t>
  </si>
  <si>
    <t>N992MG</t>
  </si>
  <si>
    <t>Cessna Citation X</t>
  </si>
  <si>
    <t>N513JB</t>
  </si>
  <si>
    <t>N957JS</t>
  </si>
  <si>
    <t>N954JS</t>
  </si>
  <si>
    <t>N860TX</t>
  </si>
  <si>
    <t>N700LH</t>
  </si>
  <si>
    <t>N106PC</t>
  </si>
  <si>
    <t>N818CF</t>
  </si>
  <si>
    <t>N733FL</t>
  </si>
  <si>
    <t>N988TX</t>
  </si>
  <si>
    <t>N703TX</t>
  </si>
  <si>
    <t>N910E</t>
  </si>
  <si>
    <t>N102VR</t>
  </si>
  <si>
    <t>N998CX</t>
  </si>
  <si>
    <t>N51GB</t>
  </si>
  <si>
    <t>N939TX</t>
  </si>
  <si>
    <t>N301HR</t>
  </si>
  <si>
    <t>N971JS</t>
  </si>
  <si>
    <t>N125DZ</t>
  </si>
  <si>
    <t>N955GH</t>
  </si>
  <si>
    <t>N125TH</t>
  </si>
  <si>
    <t>N201HR</t>
  </si>
  <si>
    <t>W&amp;B Date</t>
  </si>
  <si>
    <t xml:space="preserve">ForeFlight Subscription  </t>
  </si>
  <si>
    <t>W&amp;B on Jet Insight</t>
  </si>
  <si>
    <t>NO</t>
  </si>
  <si>
    <t>522 is attached to 371</t>
  </si>
  <si>
    <t>ForeFlight 
Config Built</t>
  </si>
  <si>
    <t>ForeFlight 
W&amp;B Built</t>
  </si>
  <si>
    <t>Unsure</t>
  </si>
  <si>
    <t>Asked Noah</t>
  </si>
  <si>
    <t>Starlink on W&amp;B?</t>
  </si>
  <si>
    <t>N554FX</t>
  </si>
  <si>
    <t>N541FX</t>
  </si>
  <si>
    <t>Part 135 Flying?</t>
  </si>
  <si>
    <t>N533FX</t>
  </si>
  <si>
    <t>https://portal.jetinsight.com/schedule/00256885-a3f2-4df8-977d-961dbb677778/6c27bdb0-e1c7-42fc-b7d9-e290b630ea0e.ics</t>
  </si>
  <si>
    <t>https://portal.jetinsight.com/schedule/00256885-a3f2-4df8-977d-961dbb677778/1fdfb34f-df94-45cb-ab8f-c3f0e129e080.ics</t>
  </si>
  <si>
    <t>https://portal.jetinsight.com/schedule/00256885-a3f2-4df8-977d-961dbb677778/d82f2424-7fd4-4063-86f0-b057a25a8292.ics</t>
  </si>
  <si>
    <t>https://portal.jetinsight.com/schedule/00256885-a3f2-4df8-977d-961dbb677778/96a0059c-3d27-43dd-84f5-fb6c8cacf0b3.ics</t>
  </si>
  <si>
    <t>https://portal.jetinsight.com/schedule/00256885-a3f2-4df8-977d-961dbb677778/d1f25f15-f4ba-4b77-af64-815eda3076f2.ics</t>
  </si>
  <si>
    <t>https://portal.jetinsight.com/schedule/00256885-a3f2-4df8-977d-961dbb677778/d974ac0b-676f-4f8c-950f-07e9adf05bdd.ics</t>
  </si>
  <si>
    <t>https://portal.jetinsight.com/schedule/00256885-a3f2-4df8-977d-961dbb677778/9d82991f-f1e7-419f-82d1-654e43b6c35e.ics</t>
  </si>
  <si>
    <t>https://portal.jetinsight.com/schedule/00256885-a3f2-4df8-977d-961dbb677778/ab0cbcd9-b8d6-4d73-9018-1a676edc0b1d.ics</t>
  </si>
  <si>
    <t>https://portal.jetinsight.com/schedule/00256885-a3f2-4df8-977d-961dbb677778/fcf890fc-79eb-4690-af97-8c3fc8324142.ics</t>
  </si>
  <si>
    <t>https://portal.jetinsight.com/schedule/00256885-a3f2-4df8-977d-961dbb677778/f38d8ea0-8548-48b1-a5ee-9fbcafab508b.ics</t>
  </si>
  <si>
    <t>https://portal.jetinsight.com/schedule/00256885-a3f2-4df8-977d-961dbb677778/3b2a32f7-ce7d-4ba2-a77d-e4ade338c1cd.ics</t>
  </si>
  <si>
    <t>https://portal.jetinsight.com/schedule/00256885-a3f2-4df8-977d-961dbb677778/2e774935-4ed3-46bb-b063-0b141b81f75b.ics</t>
  </si>
  <si>
    <t>https://portal.jetinsight.com/schedule/00256885-a3f2-4df8-977d-961dbb677778/02fb0ab3-1653-4120-b0cd-1a9b6f4dc79b.ics</t>
  </si>
  <si>
    <t>https://portal.jetinsight.com/schedule/00256885-a3f2-4df8-977d-961dbb677778/16ca7cce-55ab-4898-a4a2-638c21d64b3f.ics</t>
  </si>
  <si>
    <t>https://portal.jetinsight.com/schedule/00256885-a3f2-4df8-977d-961dbb677778/651d5f51-c00a-46f2-9a61-28656cd8b4f9.ics</t>
  </si>
  <si>
    <t>https://portal.jetinsight.com/schedule/00256885-a3f2-4df8-977d-961dbb677778/cd9e6d92-9c0b-4cdd-93d0-71d536606dab.ics</t>
  </si>
  <si>
    <t>https://portal.jetinsight.com/schedule/00256885-a3f2-4df8-977d-961dbb677778/e3e56cc5-02b7-40f4-8364-5dd107b88f9b.ics</t>
  </si>
  <si>
    <t>https://portal.jetinsight.com/schedule/00256885-a3f2-4df8-977d-961dbb677778/ae8aadc9-345f-46f6-a35a-2bbff73c52e2.ics</t>
  </si>
  <si>
    <t>https://portal.jetinsight.com/schedule/00256885-a3f2-4df8-977d-961dbb677778/1aeaeb43-8a8a-4fdd-8370-9e25d70c5259.ics</t>
  </si>
  <si>
    <t>https://portal.jetinsight.com/schedule/00256885-a3f2-4df8-977d-961dbb677778/a4af0f1e-91ce-4c62-be5b-3a5abfc40df1.ics</t>
  </si>
  <si>
    <t>https://portal.jetinsight.com/schedule/00256885-a3f2-4df8-977d-961dbb677778/61a9444f-391c-4d1b-b31a-c674bf8cb31d.ics</t>
  </si>
  <si>
    <t>https://portal.jetinsight.com/schedule/00256885-a3f2-4df8-977d-961dbb677778/8d85c3ca-1b0c-4e07-9e66-659d45eeb36a.ics</t>
  </si>
  <si>
    <t>https://portal.jetinsight.com/schedule/00256885-a3f2-4df8-977d-961dbb677778/ad189512-55ab-44a4-9650-49585d396e39.ics</t>
  </si>
  <si>
    <t>https://portal.jetinsight.com/schedule/00256885-a3f2-4df8-977d-961dbb677778/3018385e-47a1-494f-9529-28ece1d00265.ics</t>
  </si>
  <si>
    <t>https://portal.jetinsight.com/schedule/00256885-a3f2-4df8-977d-961dbb677778/2c0109c1-8c89-493f-96ec-622d5d666edd.ics</t>
  </si>
  <si>
    <t>https://portal.jetinsight.com/schedule/00256885-a3f2-4df8-977d-961dbb677778/8e3bc5e7-1404-4155-967c-1c9fd938928d.ics</t>
  </si>
  <si>
    <t>N187CR</t>
  </si>
  <si>
    <t>https://portal.jetinsight.com/schedule/00256885-a3f2-4df8-977d-961dbb677778/d73abfe9-8897-4495-a561-b4bb5cb679bd.ics</t>
  </si>
  <si>
    <t>https://portal.jetinsight.com/schedule/00256885-a3f2-4df8-977d-961dbb677778/e0d27c6b-f948-46c1-9e47-73db3d2e3b5e.ics</t>
  </si>
  <si>
    <t>https://portal.jetinsight.com/schedule/00256885-a3f2-4df8-977d-961dbb677778/f868be07-b53c-423c-ba48-34145f151fd1.ics</t>
  </si>
  <si>
    <t>https://portal.jetinsight.com/schedule/00256885-a3f2-4df8-977d-961dbb677778/e9ff5824-3fa5-4257-872c-1913289c6e4f.ics</t>
  </si>
  <si>
    <t>https://portal.jetinsight.com/schedule/00256885-a3f2-4df8-977d-961dbb677778/101f1de2-152a-4526-97c7-6c4960429e8a.ics</t>
  </si>
  <si>
    <t>https://portal.jetinsight.com/schedule/00256885-a3f2-4df8-977d-961dbb677778/53edb02e-55d4-4ea6-a148-1e9eb85a96c9.ics</t>
  </si>
  <si>
    <t>https://portal.jetinsight.com/schedule/00256885-a3f2-4df8-977d-961dbb677778/093bca25-a354-40c1-86ef-66fc24a88ad6.ics</t>
  </si>
  <si>
    <t>N371DB</t>
  </si>
  <si>
    <t>https://portal.jetinsight.com/schedule/00256885-a3f2-4df8-977d-961dbb677778/30f1f4c4-fd05-4132-a467-fb96f2a0a4ac.ics</t>
  </si>
  <si>
    <t>https://portal.jetinsight.com/schedule/00256885-a3f2-4df8-977d-961dbb677778/14e93c55-5d85-4ce3-9d8d-49d177e1c989.ics</t>
  </si>
  <si>
    <t>Initial ForeFlight Build</t>
  </si>
  <si>
    <t>Starts flying Wednesday</t>
  </si>
  <si>
    <t>N526FX</t>
  </si>
  <si>
    <t>N548FX</t>
  </si>
  <si>
    <t>N555FX</t>
  </si>
  <si>
    <t>yes</t>
  </si>
  <si>
    <t>KOW25</t>
  </si>
  <si>
    <t>KOW125</t>
  </si>
  <si>
    <t>KOW187</t>
  </si>
  <si>
    <t>KOW703</t>
  </si>
  <si>
    <t>KOW957</t>
  </si>
  <si>
    <t>KOW533</t>
  </si>
  <si>
    <t>KOW519</t>
  </si>
  <si>
    <t>KOW541</t>
  </si>
  <si>
    <t>KOW521</t>
  </si>
  <si>
    <t>KOW554</t>
  </si>
  <si>
    <t>KOW992</t>
  </si>
  <si>
    <t>KOW988</t>
  </si>
  <si>
    <t>KOW733</t>
  </si>
  <si>
    <t>KOW883</t>
  </si>
  <si>
    <t>KOW416</t>
  </si>
  <si>
    <t>KOW954</t>
  </si>
  <si>
    <t>KOW939</t>
  </si>
  <si>
    <t>KOW998</t>
  </si>
  <si>
    <t>KOW971</t>
  </si>
  <si>
    <t>KOW51</t>
  </si>
  <si>
    <t>KOW513</t>
  </si>
  <si>
    <t>KOW201</t>
  </si>
  <si>
    <t>KOW910</t>
  </si>
  <si>
    <t>KOW106</t>
  </si>
  <si>
    <t>KOW860</t>
  </si>
  <si>
    <t>KOW301</t>
  </si>
  <si>
    <t>KOW102</t>
  </si>
  <si>
    <t>KOW700</t>
  </si>
  <si>
    <t>KOW818</t>
  </si>
  <si>
    <t>KOW955</t>
  </si>
  <si>
    <t>KOW552</t>
  </si>
  <si>
    <t>KOW553</t>
  </si>
  <si>
    <t>KOW371</t>
  </si>
  <si>
    <t>KOW520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</si>
</sst>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5"/>
      <color rgb="FF000000"/>
      <name val="Arial"/>
      <family val="2"/>
    </font>
    <font>
      <sz val="16"/>
      <color theme="1"/>
      <name val="Calibri"/>
      <family val="2"/>
      <scheme val="minor"/>
    </font>
    <font>
      <sz val="16"/>
      <color rgb="FF00000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rgb="FF1F4E79"/>
      </patternFill>
    </fill>
    <fill>
      <patternFill patternType="solid">
        <fgColor rgb="FFA6A6A6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3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4" fontId="1" fillId="0" borderId="2" xfId="0" applyNumberFormat="1" applyFont="1" applyBorder="1" applyAlignment="1">
      <alignment vertical="top"/>
    </xf>
    <xf numFmtId="14" fontId="3" fillId="0" borderId="0" xfId="0" applyNumberFormat="1" applyFont="1"/>
    <xf numFmtId="0" fontId="3" fillId="0" borderId="1" xfId="0" applyFont="1" applyBorder="1"/>
    <xf numFmtId="0" fontId="1" fillId="0" borderId="1" xfId="0" applyFont="1" applyBorder="1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1" applyFont="1"/>
    <xf numFmtId="0" fontId="9" fillId="3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4" fontId="3" fillId="0" borderId="2" xfId="0" applyNumberFormat="1" applyFont="1" applyBorder="1"/>
    <xf numFmtId="0" fontId="3" fillId="0" borderId="3" xfId="0" applyFont="1" applyBorder="1"/>
    <xf numFmtId="0" fontId="3" fillId="0" borderId="1" xfId="0" applyFont="1" applyFill="1" applyBorder="1"/>
  </cellXfs>
  <cellStyles count="2">
    <cellStyle name="Hyperlink" xfId="1" builtinId="8"/>
    <cellStyle name="Normal" xfId="0" builtinId="0"/>
  </cellStyles>
  <dxfs count="3"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AFD9038-E84D-D845-9621-A38DD2355501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ortal.jetinsight.com/schedule/00256885-a3f2-4df8-977d-961dbb677778/1fdfb34f-df94-45cb-ab8f-c3f0e129e080.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6"/>
  <sheetViews>
    <sheetView tabSelected="1" zoomScale="116" workbookViewId="0">
      <pane ySplit="1" topLeftCell="A2" activePane="bottomLeft" state="frozen"/>
      <selection pane="bottomLeft" activeCell="J17" sqref="J17"/>
    </sheetView>
  </sheetViews>
  <sheetFormatPr baseColWidth="10" defaultColWidth="14.5" defaultRowHeight="15" customHeight="1" x14ac:dyDescent="0.2"/>
  <cols>
    <col min="1" max="1" width="12" customWidth="1"/>
    <col min="2" max="8" width="20" customWidth="1"/>
    <col min="9" max="9" width="13.6640625" customWidth="1"/>
    <col min="10" max="10" width="14" customWidth="1"/>
    <col min="11" max="14" width="18" customWidth="1"/>
    <col min="15" max="15" width="14" customWidth="1"/>
    <col min="16" max="16" width="48.83203125" customWidth="1"/>
  </cols>
  <sheetData>
    <row r="1" spans="1:17" ht="34.5" customHeight="1" x14ac:dyDescent="0.2">
      <c r="A1" s="4" t="s">
        <v>0</v>
      </c>
      <c r="B1" s="4" t="s">
        <v>1</v>
      </c>
      <c r="C1" s="4" t="s">
        <v>59</v>
      </c>
      <c r="D1" s="4" t="s">
        <v>47</v>
      </c>
      <c r="E1" s="4" t="s">
        <v>49</v>
      </c>
      <c r="F1" s="14" t="s">
        <v>53</v>
      </c>
      <c r="G1" s="4" t="s">
        <v>56</v>
      </c>
      <c r="H1" s="14" t="s">
        <v>98</v>
      </c>
      <c r="I1" s="4" t="s">
        <v>48</v>
      </c>
      <c r="J1" s="4" t="s">
        <v>52</v>
      </c>
      <c r="K1" s="4" t="s">
        <v>2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</row>
    <row r="2" spans="1:17" ht="16" x14ac:dyDescent="0.2">
      <c r="A2" s="15" t="s">
        <v>19</v>
      </c>
      <c r="B2" s="15" t="s">
        <v>9</v>
      </c>
      <c r="C2" s="1" t="s">
        <v>50</v>
      </c>
      <c r="D2" s="15" t="s">
        <v>55</v>
      </c>
      <c r="E2" s="1" t="s">
        <v>50</v>
      </c>
      <c r="F2" s="1" t="s">
        <v>11</v>
      </c>
      <c r="G2" s="15" t="s">
        <v>54</v>
      </c>
      <c r="H2" s="15" t="s">
        <v>10</v>
      </c>
      <c r="I2" s="15" t="s">
        <v>10</v>
      </c>
      <c r="J2" s="15" t="s">
        <v>11</v>
      </c>
      <c r="K2" s="15" t="s">
        <v>11</v>
      </c>
      <c r="L2" s="15" t="s">
        <v>11</v>
      </c>
      <c r="M2" s="15" t="s">
        <v>11</v>
      </c>
      <c r="N2" s="15" t="s">
        <v>11</v>
      </c>
      <c r="O2" s="15" t="str">
        <f>IF(N2="Yes","Complete",IF(M2="Yes","Go-Live",IF(K2="Yes","Validated",IF(J2="Yes","Configured","Not Started"))))</f>
        <v>Not Started</v>
      </c>
      <c r="P2" s="2" t="s">
        <v>15</v>
      </c>
      <c r="Q2" s="3" t="s">
        <v>13</v>
      </c>
    </row>
    <row r="3" spans="1:17" x14ac:dyDescent="0.2">
      <c r="A3" s="15" t="s">
        <v>58</v>
      </c>
      <c r="B3" s="15" t="s">
        <v>9</v>
      </c>
      <c r="C3" s="1" t="s">
        <v>50</v>
      </c>
      <c r="D3" s="18"/>
      <c r="E3" s="1"/>
      <c r="F3" s="1"/>
      <c r="G3" s="15"/>
      <c r="H3" s="15" t="s">
        <v>10</v>
      </c>
      <c r="I3" s="15" t="s">
        <v>11</v>
      </c>
      <c r="J3" s="15"/>
      <c r="K3" s="15"/>
      <c r="L3" s="15"/>
      <c r="M3" s="15"/>
      <c r="N3" s="15"/>
      <c r="O3" s="15"/>
      <c r="P3" s="2"/>
    </row>
    <row r="4" spans="1:17" x14ac:dyDescent="0.2">
      <c r="A4" s="15" t="s">
        <v>60</v>
      </c>
      <c r="B4" s="15" t="s">
        <v>9</v>
      </c>
      <c r="C4" s="1" t="s">
        <v>50</v>
      </c>
      <c r="D4" s="18"/>
      <c r="E4" s="1"/>
      <c r="F4" s="9"/>
      <c r="G4" s="3"/>
      <c r="H4" s="3" t="s">
        <v>10</v>
      </c>
      <c r="I4" s="15" t="s">
        <v>11</v>
      </c>
      <c r="J4" s="15"/>
      <c r="K4" s="15"/>
      <c r="L4" s="15"/>
      <c r="M4" s="15"/>
      <c r="N4" s="15"/>
      <c r="O4" s="15"/>
      <c r="P4" s="2"/>
    </row>
    <row r="5" spans="1:17" x14ac:dyDescent="0.2">
      <c r="A5" s="3" t="s">
        <v>100</v>
      </c>
      <c r="B5" s="3" t="s">
        <v>9</v>
      </c>
      <c r="C5" s="19" t="s">
        <v>50</v>
      </c>
      <c r="D5" s="7"/>
      <c r="E5" s="5"/>
      <c r="F5" s="9"/>
      <c r="G5" s="8"/>
      <c r="H5" s="8" t="s">
        <v>10</v>
      </c>
      <c r="I5" s="19" t="s">
        <v>11</v>
      </c>
      <c r="J5" s="19"/>
      <c r="K5" s="3"/>
      <c r="L5" s="3"/>
      <c r="M5" s="3"/>
      <c r="N5" s="3"/>
      <c r="O5" s="3" t="str">
        <f>IF(N5="Yes","Complete",IF(M5="Yes","Go-Live",IF(K5="Yes","Validated",IF(J5="Yes","Configured","Not Started"))))</f>
        <v>Not Started</v>
      </c>
      <c r="P5" s="2"/>
    </row>
    <row r="6" spans="1:17" x14ac:dyDescent="0.2">
      <c r="A6" s="3" t="s">
        <v>101</v>
      </c>
      <c r="B6" s="3" t="s">
        <v>9</v>
      </c>
      <c r="C6" s="19" t="s">
        <v>50</v>
      </c>
      <c r="D6" s="7"/>
      <c r="E6" s="5"/>
      <c r="F6" s="9" t="s">
        <v>10</v>
      </c>
      <c r="G6" s="3" t="s">
        <v>10</v>
      </c>
      <c r="H6" s="8" t="s">
        <v>10</v>
      </c>
      <c r="I6" s="19" t="s">
        <v>10</v>
      </c>
      <c r="J6" s="20" t="s">
        <v>10</v>
      </c>
      <c r="K6" s="3"/>
      <c r="L6" s="3"/>
      <c r="M6" s="3"/>
      <c r="N6" s="3"/>
      <c r="O6" s="3" t="str">
        <f>IF(N6="Yes","Complete",IF(M6="Yes","Go-Live",IF(K6="Yes","Validated",IF(J6="Yes","Configured","Not Started"))))</f>
        <v>Configured</v>
      </c>
      <c r="P6" s="2"/>
    </row>
    <row r="7" spans="1:17" x14ac:dyDescent="0.2">
      <c r="A7" s="3" t="s">
        <v>102</v>
      </c>
      <c r="B7" s="3" t="s">
        <v>9</v>
      </c>
      <c r="C7" s="19" t="s">
        <v>50</v>
      </c>
      <c r="D7" s="7"/>
      <c r="E7" s="5"/>
      <c r="F7" s="9" t="s">
        <v>10</v>
      </c>
      <c r="G7" s="3" t="s">
        <v>10</v>
      </c>
      <c r="H7" s="8" t="s">
        <v>10</v>
      </c>
      <c r="I7" s="19" t="s">
        <v>10</v>
      </c>
      <c r="J7" s="20" t="s">
        <v>10</v>
      </c>
      <c r="K7" s="3"/>
      <c r="L7" s="3"/>
      <c r="M7" s="3"/>
      <c r="N7" s="3"/>
      <c r="O7" s="3" t="str">
        <f>IF(N7="Yes","Complete",IF(M7="Yes","Go-Live",IF(K7="Yes","Validated",IF(J7="Yes","Configured","Not Started"))))</f>
        <v>Configured</v>
      </c>
      <c r="P7" s="2"/>
    </row>
    <row r="8" spans="1:17" x14ac:dyDescent="0.2">
      <c r="A8" s="8" t="s">
        <v>57</v>
      </c>
      <c r="B8" s="3" t="s">
        <v>9</v>
      </c>
      <c r="C8" s="5" t="s">
        <v>99</v>
      </c>
      <c r="D8" s="7">
        <v>46042</v>
      </c>
      <c r="E8" s="5"/>
      <c r="F8" s="9" t="s">
        <v>103</v>
      </c>
      <c r="G8" s="3" t="s">
        <v>10</v>
      </c>
      <c r="H8" s="3" t="s">
        <v>10</v>
      </c>
      <c r="I8" s="3" t="s">
        <v>10</v>
      </c>
      <c r="J8" s="3" t="s">
        <v>10</v>
      </c>
      <c r="K8" s="3"/>
      <c r="L8" s="3"/>
      <c r="M8" s="3"/>
      <c r="N8" s="3"/>
      <c r="O8" s="3"/>
      <c r="P8" s="2"/>
    </row>
    <row r="9" spans="1:17" ht="16" x14ac:dyDescent="0.2">
      <c r="A9" s="3" t="s">
        <v>20</v>
      </c>
      <c r="B9" s="3" t="s">
        <v>9</v>
      </c>
      <c r="C9" s="16" t="s">
        <v>23</v>
      </c>
      <c r="D9" s="7">
        <v>45985</v>
      </c>
      <c r="E9" s="5" t="s">
        <v>50</v>
      </c>
      <c r="F9" s="9" t="s">
        <v>10</v>
      </c>
      <c r="G9" s="3" t="s">
        <v>54</v>
      </c>
      <c r="H9" s="3" t="s">
        <v>10</v>
      </c>
      <c r="I9" s="3" t="s">
        <v>10</v>
      </c>
      <c r="J9" s="3" t="s">
        <v>10</v>
      </c>
      <c r="K9" s="3" t="s">
        <v>11</v>
      </c>
      <c r="L9" s="3" t="s">
        <v>11</v>
      </c>
      <c r="M9" s="3" t="s">
        <v>11</v>
      </c>
      <c r="N9" s="3" t="s">
        <v>11</v>
      </c>
      <c r="O9" s="3" t="str">
        <f t="shared" ref="O9:O37" si="0">IF(N9="Yes","Complete",IF(M9="Yes","Go-Live",IF(K9="Yes","Validated",IF(J9="Yes","Configured","Not Started"))))</f>
        <v>Configured</v>
      </c>
      <c r="P9" s="2" t="s">
        <v>15</v>
      </c>
    </row>
    <row r="10" spans="1:17" ht="16" x14ac:dyDescent="0.2">
      <c r="A10" s="16" t="s">
        <v>8</v>
      </c>
      <c r="B10" s="16" t="s">
        <v>9</v>
      </c>
      <c r="C10" s="16" t="s">
        <v>23</v>
      </c>
      <c r="D10" s="17">
        <v>45978</v>
      </c>
      <c r="E10" s="5" t="s">
        <v>51</v>
      </c>
      <c r="F10" s="9" t="s">
        <v>10</v>
      </c>
      <c r="G10" s="9" t="s">
        <v>23</v>
      </c>
      <c r="H10" s="3" t="s">
        <v>10</v>
      </c>
      <c r="I10" s="16" t="s">
        <v>10</v>
      </c>
      <c r="J10" s="16" t="s">
        <v>10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tr">
        <f t="shared" si="0"/>
        <v>Configured</v>
      </c>
      <c r="P10" s="2" t="s">
        <v>12</v>
      </c>
    </row>
    <row r="11" spans="1:17" ht="16" x14ac:dyDescent="0.2">
      <c r="A11" s="16" t="s">
        <v>14</v>
      </c>
      <c r="B11" s="16" t="s">
        <v>9</v>
      </c>
      <c r="C11" s="9" t="s">
        <v>23</v>
      </c>
      <c r="D11" s="17">
        <v>45980</v>
      </c>
      <c r="E11" s="5" t="s">
        <v>10</v>
      </c>
      <c r="F11" s="9" t="s">
        <v>10</v>
      </c>
      <c r="G11" s="9" t="s">
        <v>10</v>
      </c>
      <c r="H11" s="3" t="s">
        <v>10</v>
      </c>
      <c r="I11" s="16" t="s">
        <v>10</v>
      </c>
      <c r="J11" s="16" t="s">
        <v>10</v>
      </c>
      <c r="K11" s="16" t="s">
        <v>11</v>
      </c>
      <c r="L11" s="16" t="s">
        <v>11</v>
      </c>
      <c r="M11" s="16" t="s">
        <v>11</v>
      </c>
      <c r="N11" s="16" t="s">
        <v>11</v>
      </c>
      <c r="O11" s="16" t="str">
        <f t="shared" si="0"/>
        <v>Configured</v>
      </c>
      <c r="P11" s="2" t="s">
        <v>15</v>
      </c>
    </row>
    <row r="12" spans="1:17" ht="16" x14ac:dyDescent="0.2">
      <c r="A12" s="16" t="s">
        <v>16</v>
      </c>
      <c r="B12" s="16" t="s">
        <v>9</v>
      </c>
      <c r="C12" s="9" t="s">
        <v>23</v>
      </c>
      <c r="D12" s="17">
        <v>46003</v>
      </c>
      <c r="E12" s="5" t="s">
        <v>23</v>
      </c>
      <c r="F12" s="9" t="s">
        <v>10</v>
      </c>
      <c r="G12" s="8" t="s">
        <v>54</v>
      </c>
      <c r="H12" s="3" t="s">
        <v>10</v>
      </c>
      <c r="I12" s="16" t="s">
        <v>10</v>
      </c>
      <c r="J12" s="16" t="s">
        <v>10</v>
      </c>
      <c r="K12" s="16" t="s">
        <v>11</v>
      </c>
      <c r="L12" s="16" t="s">
        <v>11</v>
      </c>
      <c r="M12" s="16" t="s">
        <v>11</v>
      </c>
      <c r="N12" s="16" t="s">
        <v>11</v>
      </c>
      <c r="O12" s="16" t="str">
        <f t="shared" si="0"/>
        <v>Configured</v>
      </c>
      <c r="P12" s="2" t="s">
        <v>17</v>
      </c>
    </row>
    <row r="13" spans="1:17" ht="16" x14ac:dyDescent="0.2">
      <c r="A13" s="3" t="s">
        <v>18</v>
      </c>
      <c r="B13" s="8" t="s">
        <v>9</v>
      </c>
      <c r="C13" s="9" t="s">
        <v>23</v>
      </c>
      <c r="D13" s="7">
        <v>45981</v>
      </c>
      <c r="E13" s="5" t="s">
        <v>50</v>
      </c>
      <c r="F13" s="9" t="s">
        <v>10</v>
      </c>
      <c r="G13" s="8" t="s">
        <v>54</v>
      </c>
      <c r="H13" s="3" t="s">
        <v>10</v>
      </c>
      <c r="I13" s="3" t="s">
        <v>10</v>
      </c>
      <c r="J13" s="3" t="s">
        <v>10</v>
      </c>
      <c r="K13" s="3" t="s">
        <v>11</v>
      </c>
      <c r="L13" s="3" t="s">
        <v>11</v>
      </c>
      <c r="M13" s="3" t="s">
        <v>11</v>
      </c>
      <c r="N13" s="3" t="s">
        <v>11</v>
      </c>
      <c r="O13" s="3" t="str">
        <f t="shared" si="0"/>
        <v>Configured</v>
      </c>
      <c r="P13" s="2" t="s">
        <v>15</v>
      </c>
    </row>
    <row r="14" spans="1:17" x14ac:dyDescent="0.2">
      <c r="A14" s="3" t="s">
        <v>21</v>
      </c>
      <c r="B14" s="8" t="s">
        <v>9</v>
      </c>
      <c r="C14" s="8" t="s">
        <v>23</v>
      </c>
      <c r="D14" s="7">
        <v>46032</v>
      </c>
      <c r="E14" s="5" t="s">
        <v>50</v>
      </c>
      <c r="F14" s="9" t="s">
        <v>10</v>
      </c>
      <c r="G14" s="8" t="s">
        <v>23</v>
      </c>
      <c r="H14" s="3" t="s">
        <v>10</v>
      </c>
      <c r="I14" s="3" t="s">
        <v>10</v>
      </c>
      <c r="J14" s="3" t="s">
        <v>10</v>
      </c>
      <c r="K14" s="3" t="s">
        <v>11</v>
      </c>
      <c r="L14" s="3" t="s">
        <v>11</v>
      </c>
      <c r="M14" s="3" t="s">
        <v>11</v>
      </c>
      <c r="N14" s="3" t="s">
        <v>11</v>
      </c>
      <c r="O14" s="3" t="str">
        <f t="shared" si="0"/>
        <v>Configured</v>
      </c>
      <c r="P14" s="2"/>
    </row>
    <row r="15" spans="1:17" x14ac:dyDescent="0.2">
      <c r="A15" s="3" t="s">
        <v>22</v>
      </c>
      <c r="B15" s="8" t="s">
        <v>9</v>
      </c>
      <c r="C15" s="8" t="s">
        <v>23</v>
      </c>
      <c r="D15" s="7">
        <v>46047</v>
      </c>
      <c r="E15" s="5" t="s">
        <v>50</v>
      </c>
      <c r="F15" s="9" t="s">
        <v>10</v>
      </c>
      <c r="G15" s="8" t="s">
        <v>23</v>
      </c>
      <c r="H15" s="3" t="s">
        <v>10</v>
      </c>
      <c r="I15" s="3" t="s">
        <v>10</v>
      </c>
      <c r="J15" s="3" t="s">
        <v>11</v>
      </c>
      <c r="K15" s="3" t="s">
        <v>11</v>
      </c>
      <c r="L15" s="3" t="s">
        <v>11</v>
      </c>
      <c r="M15" s="3" t="s">
        <v>11</v>
      </c>
      <c r="N15" s="3" t="s">
        <v>11</v>
      </c>
      <c r="O15" s="3" t="str">
        <f t="shared" si="0"/>
        <v>Not Started</v>
      </c>
      <c r="P15" s="2"/>
    </row>
    <row r="16" spans="1:17" x14ac:dyDescent="0.2">
      <c r="A16" s="1" t="s">
        <v>24</v>
      </c>
      <c r="B16" s="1" t="s">
        <v>25</v>
      </c>
      <c r="C16" s="1" t="s">
        <v>23</v>
      </c>
      <c r="D16" s="6">
        <v>45784</v>
      </c>
      <c r="E16" s="1" t="s">
        <v>23</v>
      </c>
      <c r="F16" s="1" t="s">
        <v>10</v>
      </c>
      <c r="G16" s="1" t="s">
        <v>23</v>
      </c>
      <c r="H16" s="3" t="s">
        <v>10</v>
      </c>
      <c r="I16" s="1" t="s">
        <v>10</v>
      </c>
      <c r="J16" s="1" t="s">
        <v>10</v>
      </c>
      <c r="K16" s="1" t="s">
        <v>11</v>
      </c>
      <c r="L16" s="1" t="s">
        <v>11</v>
      </c>
      <c r="M16" s="1" t="s">
        <v>11</v>
      </c>
      <c r="N16" s="1" t="s">
        <v>11</v>
      </c>
      <c r="O16" s="1" t="str">
        <f t="shared" si="0"/>
        <v>Configured</v>
      </c>
      <c r="P16" s="2"/>
    </row>
    <row r="17" spans="1:16" x14ac:dyDescent="0.2">
      <c r="A17" s="1" t="s">
        <v>26</v>
      </c>
      <c r="B17" s="1" t="s">
        <v>25</v>
      </c>
      <c r="C17" s="1" t="s">
        <v>23</v>
      </c>
      <c r="D17" s="6">
        <v>45932</v>
      </c>
      <c r="E17" s="1" t="s">
        <v>23</v>
      </c>
      <c r="F17" s="1" t="s">
        <v>10</v>
      </c>
      <c r="G17" s="1" t="s">
        <v>23</v>
      </c>
      <c r="H17" s="3" t="s">
        <v>10</v>
      </c>
      <c r="I17" s="1" t="s">
        <v>10</v>
      </c>
      <c r="J17" s="1" t="s">
        <v>10</v>
      </c>
      <c r="K17" s="1" t="s">
        <v>11</v>
      </c>
      <c r="L17" s="1" t="s">
        <v>11</v>
      </c>
      <c r="M17" s="1" t="s">
        <v>11</v>
      </c>
      <c r="N17" s="1" t="s">
        <v>11</v>
      </c>
      <c r="O17" s="1" t="str">
        <f t="shared" si="0"/>
        <v>Configured</v>
      </c>
      <c r="P17" s="2"/>
    </row>
    <row r="18" spans="1:16" x14ac:dyDescent="0.2">
      <c r="A18" s="1" t="s">
        <v>27</v>
      </c>
      <c r="B18" s="1" t="s">
        <v>25</v>
      </c>
      <c r="C18" s="1" t="s">
        <v>23</v>
      </c>
      <c r="D18" s="6">
        <v>45940</v>
      </c>
      <c r="E18" s="1" t="s">
        <v>23</v>
      </c>
      <c r="F18" s="1" t="s">
        <v>10</v>
      </c>
      <c r="G18" s="1" t="s">
        <v>23</v>
      </c>
      <c r="H18" s="3" t="s">
        <v>10</v>
      </c>
      <c r="I18" s="1" t="s">
        <v>10</v>
      </c>
      <c r="J18" s="1" t="s">
        <v>10</v>
      </c>
      <c r="K18" s="1" t="s">
        <v>11</v>
      </c>
      <c r="L18" s="1" t="s">
        <v>11</v>
      </c>
      <c r="M18" s="1" t="s">
        <v>11</v>
      </c>
      <c r="N18" s="1" t="s">
        <v>11</v>
      </c>
      <c r="O18" s="1" t="str">
        <f t="shared" si="0"/>
        <v>Configured</v>
      </c>
      <c r="P18" s="2"/>
    </row>
    <row r="19" spans="1:16" x14ac:dyDescent="0.2">
      <c r="A19" s="1" t="s">
        <v>28</v>
      </c>
      <c r="B19" s="1" t="s">
        <v>25</v>
      </c>
      <c r="C19" s="1" t="s">
        <v>23</v>
      </c>
      <c r="D19" s="6">
        <v>45910</v>
      </c>
      <c r="E19" s="1" t="s">
        <v>23</v>
      </c>
      <c r="F19" s="1" t="s">
        <v>10</v>
      </c>
      <c r="G19" s="1" t="s">
        <v>23</v>
      </c>
      <c r="H19" s="3" t="s">
        <v>10</v>
      </c>
      <c r="I19" s="1" t="s">
        <v>10</v>
      </c>
      <c r="J19" s="1" t="s">
        <v>10</v>
      </c>
      <c r="K19" s="1" t="s">
        <v>11</v>
      </c>
      <c r="L19" s="1" t="s">
        <v>11</v>
      </c>
      <c r="M19" s="1" t="s">
        <v>11</v>
      </c>
      <c r="N19" s="1" t="s">
        <v>11</v>
      </c>
      <c r="O19" s="1" t="str">
        <f t="shared" si="0"/>
        <v>Configured</v>
      </c>
      <c r="P19" s="2"/>
    </row>
    <row r="20" spans="1:16" x14ac:dyDescent="0.2">
      <c r="A20" s="1" t="s">
        <v>29</v>
      </c>
      <c r="B20" s="1" t="s">
        <v>25</v>
      </c>
      <c r="C20" s="1" t="s">
        <v>23</v>
      </c>
      <c r="D20" s="6">
        <v>45802</v>
      </c>
      <c r="E20" s="1" t="s">
        <v>23</v>
      </c>
      <c r="F20" s="1" t="s">
        <v>10</v>
      </c>
      <c r="G20" s="1" t="s">
        <v>23</v>
      </c>
      <c r="H20" s="3" t="s">
        <v>10</v>
      </c>
      <c r="I20" s="1" t="s">
        <v>10</v>
      </c>
      <c r="J20" s="1" t="s">
        <v>10</v>
      </c>
      <c r="K20" s="1" t="s">
        <v>11</v>
      </c>
      <c r="L20" s="1" t="s">
        <v>11</v>
      </c>
      <c r="M20" s="1" t="s">
        <v>11</v>
      </c>
      <c r="N20" s="1" t="s">
        <v>11</v>
      </c>
      <c r="O20" s="1" t="str">
        <f t="shared" si="0"/>
        <v>Configured</v>
      </c>
      <c r="P20" s="2"/>
    </row>
    <row r="21" spans="1:16" x14ac:dyDescent="0.2">
      <c r="A21" s="1" t="s">
        <v>30</v>
      </c>
      <c r="B21" s="1" t="s">
        <v>25</v>
      </c>
      <c r="C21" s="1" t="s">
        <v>23</v>
      </c>
      <c r="D21" s="6">
        <v>45811</v>
      </c>
      <c r="E21" s="1" t="s">
        <v>23</v>
      </c>
      <c r="F21" s="1" t="s">
        <v>10</v>
      </c>
      <c r="G21" s="1" t="s">
        <v>23</v>
      </c>
      <c r="H21" s="3" t="s">
        <v>10</v>
      </c>
      <c r="I21" s="1" t="s">
        <v>10</v>
      </c>
      <c r="J21" s="1" t="s">
        <v>10</v>
      </c>
      <c r="K21" s="1" t="s">
        <v>10</v>
      </c>
      <c r="L21" s="1" t="s">
        <v>11</v>
      </c>
      <c r="M21" s="1" t="s">
        <v>11</v>
      </c>
      <c r="N21" s="1" t="s">
        <v>11</v>
      </c>
      <c r="O21" s="1" t="str">
        <f t="shared" si="0"/>
        <v>Validated</v>
      </c>
      <c r="P21" s="2"/>
    </row>
    <row r="22" spans="1:16" x14ac:dyDescent="0.2">
      <c r="A22" s="1" t="s">
        <v>31</v>
      </c>
      <c r="B22" s="1" t="s">
        <v>25</v>
      </c>
      <c r="C22" s="1" t="s">
        <v>23</v>
      </c>
      <c r="D22" s="6">
        <v>45782</v>
      </c>
      <c r="E22" s="1" t="s">
        <v>23</v>
      </c>
      <c r="F22" s="1" t="s">
        <v>10</v>
      </c>
      <c r="G22" s="1" t="s">
        <v>23</v>
      </c>
      <c r="H22" s="3" t="s">
        <v>10</v>
      </c>
      <c r="I22" s="1" t="s">
        <v>10</v>
      </c>
      <c r="J22" s="1" t="s">
        <v>10</v>
      </c>
      <c r="K22" s="1" t="s">
        <v>11</v>
      </c>
      <c r="L22" s="1" t="s">
        <v>11</v>
      </c>
      <c r="M22" s="1" t="s">
        <v>11</v>
      </c>
      <c r="N22" s="1" t="s">
        <v>11</v>
      </c>
      <c r="O22" s="1" t="str">
        <f t="shared" si="0"/>
        <v>Configured</v>
      </c>
      <c r="P22" s="2"/>
    </row>
    <row r="23" spans="1:16" x14ac:dyDescent="0.2">
      <c r="A23" s="1" t="s">
        <v>32</v>
      </c>
      <c r="B23" s="1" t="s">
        <v>25</v>
      </c>
      <c r="C23" s="1" t="s">
        <v>23</v>
      </c>
      <c r="D23" s="6">
        <v>45750</v>
      </c>
      <c r="E23" s="1" t="s">
        <v>23</v>
      </c>
      <c r="F23" s="1" t="s">
        <v>10</v>
      </c>
      <c r="G23" s="1" t="s">
        <v>23</v>
      </c>
      <c r="H23" s="3" t="s">
        <v>10</v>
      </c>
      <c r="I23" s="1" t="s">
        <v>10</v>
      </c>
      <c r="J23" s="1" t="s">
        <v>10</v>
      </c>
      <c r="K23" s="1" t="s">
        <v>11</v>
      </c>
      <c r="L23" s="1" t="s">
        <v>11</v>
      </c>
      <c r="M23" s="1" t="s">
        <v>11</v>
      </c>
      <c r="N23" s="1" t="s">
        <v>11</v>
      </c>
      <c r="O23" s="1" t="str">
        <f t="shared" si="0"/>
        <v>Configured</v>
      </c>
      <c r="P23" s="2"/>
    </row>
    <row r="24" spans="1:16" x14ac:dyDescent="0.2">
      <c r="A24" s="1" t="s">
        <v>33</v>
      </c>
      <c r="B24" s="1" t="s">
        <v>25</v>
      </c>
      <c r="C24" s="1" t="s">
        <v>23</v>
      </c>
      <c r="D24" s="6">
        <v>45817</v>
      </c>
      <c r="E24" s="1" t="s">
        <v>23</v>
      </c>
      <c r="F24" s="1" t="s">
        <v>10</v>
      </c>
      <c r="G24" s="1" t="s">
        <v>23</v>
      </c>
      <c r="H24" s="3" t="s">
        <v>10</v>
      </c>
      <c r="I24" s="1" t="s">
        <v>10</v>
      </c>
      <c r="J24" s="1" t="s">
        <v>10</v>
      </c>
      <c r="K24" s="1" t="s">
        <v>11</v>
      </c>
      <c r="L24" s="1" t="s">
        <v>11</v>
      </c>
      <c r="M24" s="1" t="s">
        <v>11</v>
      </c>
      <c r="N24" s="1" t="s">
        <v>11</v>
      </c>
      <c r="O24" s="1" t="str">
        <f t="shared" si="0"/>
        <v>Configured</v>
      </c>
      <c r="P24" s="2"/>
    </row>
    <row r="25" spans="1:16" x14ac:dyDescent="0.2">
      <c r="A25" s="1" t="s">
        <v>34</v>
      </c>
      <c r="B25" s="1" t="s">
        <v>25</v>
      </c>
      <c r="C25" s="1" t="s">
        <v>23</v>
      </c>
      <c r="D25" s="6">
        <v>45830</v>
      </c>
      <c r="E25" s="1" t="s">
        <v>23</v>
      </c>
      <c r="F25" s="1" t="s">
        <v>10</v>
      </c>
      <c r="G25" s="1" t="s">
        <v>23</v>
      </c>
      <c r="H25" s="3" t="s">
        <v>10</v>
      </c>
      <c r="I25" s="1" t="s">
        <v>10</v>
      </c>
      <c r="J25" s="1" t="s">
        <v>10</v>
      </c>
      <c r="K25" s="1" t="s">
        <v>11</v>
      </c>
      <c r="L25" s="1" t="s">
        <v>11</v>
      </c>
      <c r="M25" s="1" t="s">
        <v>11</v>
      </c>
      <c r="N25" s="1" t="s">
        <v>11</v>
      </c>
      <c r="O25" s="1" t="str">
        <f t="shared" si="0"/>
        <v>Configured</v>
      </c>
      <c r="P25" s="2"/>
    </row>
    <row r="26" spans="1:16" x14ac:dyDescent="0.2">
      <c r="A26" s="1" t="s">
        <v>35</v>
      </c>
      <c r="B26" s="1" t="s">
        <v>25</v>
      </c>
      <c r="C26" s="1" t="s">
        <v>23</v>
      </c>
      <c r="D26" s="6">
        <v>45784</v>
      </c>
      <c r="E26" s="1" t="s">
        <v>23</v>
      </c>
      <c r="F26" s="1" t="s">
        <v>10</v>
      </c>
      <c r="G26" s="1" t="s">
        <v>23</v>
      </c>
      <c r="H26" s="3" t="s">
        <v>10</v>
      </c>
      <c r="I26" s="1" t="s">
        <v>10</v>
      </c>
      <c r="J26" s="1" t="s">
        <v>10</v>
      </c>
      <c r="K26" s="1" t="s">
        <v>11</v>
      </c>
      <c r="L26" s="1" t="s">
        <v>11</v>
      </c>
      <c r="M26" s="1" t="s">
        <v>11</v>
      </c>
      <c r="N26" s="1" t="s">
        <v>11</v>
      </c>
      <c r="O26" s="1" t="str">
        <f t="shared" si="0"/>
        <v>Configured</v>
      </c>
      <c r="P26" s="2"/>
    </row>
    <row r="27" spans="1:16" ht="15.75" customHeight="1" x14ac:dyDescent="0.2">
      <c r="A27" s="1" t="s">
        <v>36</v>
      </c>
      <c r="B27" s="1" t="s">
        <v>25</v>
      </c>
      <c r="C27" s="1" t="s">
        <v>23</v>
      </c>
      <c r="D27" s="6">
        <v>45912</v>
      </c>
      <c r="E27" s="1" t="s">
        <v>23</v>
      </c>
      <c r="F27" s="1" t="s">
        <v>10</v>
      </c>
      <c r="G27" s="1" t="s">
        <v>23</v>
      </c>
      <c r="H27" s="3" t="s">
        <v>10</v>
      </c>
      <c r="I27" s="1" t="s">
        <v>10</v>
      </c>
      <c r="J27" s="1" t="s">
        <v>10</v>
      </c>
      <c r="K27" s="1" t="s">
        <v>11</v>
      </c>
      <c r="L27" s="1" t="s">
        <v>11</v>
      </c>
      <c r="M27" s="1" t="s">
        <v>11</v>
      </c>
      <c r="N27" s="1" t="s">
        <v>11</v>
      </c>
      <c r="O27" s="1" t="str">
        <f t="shared" si="0"/>
        <v>Configured</v>
      </c>
      <c r="P27" s="2"/>
    </row>
    <row r="28" spans="1:16" ht="15.75" customHeight="1" x14ac:dyDescent="0.2">
      <c r="A28" s="1" t="s">
        <v>37</v>
      </c>
      <c r="B28" s="1" t="s">
        <v>25</v>
      </c>
      <c r="C28" s="1" t="s">
        <v>23</v>
      </c>
      <c r="D28" s="6">
        <v>45841</v>
      </c>
      <c r="E28" s="1" t="s">
        <v>23</v>
      </c>
      <c r="F28" s="1" t="s">
        <v>10</v>
      </c>
      <c r="G28" s="1" t="s">
        <v>23</v>
      </c>
      <c r="H28" s="3" t="s">
        <v>10</v>
      </c>
      <c r="I28" s="1" t="s">
        <v>10</v>
      </c>
      <c r="J28" s="1" t="s">
        <v>10</v>
      </c>
      <c r="K28" s="1" t="s">
        <v>11</v>
      </c>
      <c r="L28" s="1" t="s">
        <v>11</v>
      </c>
      <c r="M28" s="1" t="s">
        <v>11</v>
      </c>
      <c r="N28" s="1" t="s">
        <v>11</v>
      </c>
      <c r="O28" s="1" t="str">
        <f t="shared" si="0"/>
        <v>Configured</v>
      </c>
      <c r="P28" s="2"/>
    </row>
    <row r="29" spans="1:16" ht="15.75" customHeight="1" x14ac:dyDescent="0.2">
      <c r="A29" s="1" t="s">
        <v>38</v>
      </c>
      <c r="B29" s="1" t="s">
        <v>25</v>
      </c>
      <c r="C29" s="1" t="s">
        <v>23</v>
      </c>
      <c r="D29" s="6">
        <v>45852</v>
      </c>
      <c r="E29" s="1" t="s">
        <v>23</v>
      </c>
      <c r="F29" s="1" t="s">
        <v>10</v>
      </c>
      <c r="G29" s="1" t="s">
        <v>23</v>
      </c>
      <c r="H29" s="3" t="s">
        <v>10</v>
      </c>
      <c r="I29" s="1" t="s">
        <v>10</v>
      </c>
      <c r="J29" s="1" t="s">
        <v>10</v>
      </c>
      <c r="K29" s="1" t="s">
        <v>11</v>
      </c>
      <c r="L29" s="1" t="s">
        <v>11</v>
      </c>
      <c r="M29" s="1" t="s">
        <v>11</v>
      </c>
      <c r="N29" s="1" t="s">
        <v>11</v>
      </c>
      <c r="O29" s="1" t="str">
        <f t="shared" si="0"/>
        <v>Configured</v>
      </c>
      <c r="P29" s="2"/>
    </row>
    <row r="30" spans="1:16" ht="15.75" customHeight="1" x14ac:dyDescent="0.2">
      <c r="A30" s="1" t="s">
        <v>39</v>
      </c>
      <c r="B30" s="1" t="s">
        <v>25</v>
      </c>
      <c r="C30" s="1" t="s">
        <v>23</v>
      </c>
      <c r="D30" s="6">
        <v>45944</v>
      </c>
      <c r="E30" s="1" t="s">
        <v>23</v>
      </c>
      <c r="F30" s="1" t="s">
        <v>10</v>
      </c>
      <c r="G30" s="1" t="s">
        <v>23</v>
      </c>
      <c r="H30" s="3" t="s">
        <v>10</v>
      </c>
      <c r="I30" s="1" t="s">
        <v>10</v>
      </c>
      <c r="J30" s="1" t="s">
        <v>10</v>
      </c>
      <c r="K30" s="1" t="s">
        <v>11</v>
      </c>
      <c r="L30" s="1" t="s">
        <v>11</v>
      </c>
      <c r="M30" s="1" t="s">
        <v>11</v>
      </c>
      <c r="N30" s="1" t="s">
        <v>11</v>
      </c>
      <c r="O30" s="1" t="str">
        <f t="shared" si="0"/>
        <v>Configured</v>
      </c>
      <c r="P30" s="2"/>
    </row>
    <row r="31" spans="1:16" ht="15.75" customHeight="1" x14ac:dyDescent="0.2">
      <c r="A31" s="1" t="s">
        <v>40</v>
      </c>
      <c r="B31" s="1" t="s">
        <v>25</v>
      </c>
      <c r="C31" s="1" t="s">
        <v>23</v>
      </c>
      <c r="D31" s="6">
        <v>45891</v>
      </c>
      <c r="E31" s="1" t="s">
        <v>23</v>
      </c>
      <c r="F31" s="1" t="s">
        <v>10</v>
      </c>
      <c r="G31" s="1" t="s">
        <v>23</v>
      </c>
      <c r="H31" s="3" t="s">
        <v>10</v>
      </c>
      <c r="I31" s="1" t="s">
        <v>10</v>
      </c>
      <c r="J31" s="1" t="s">
        <v>10</v>
      </c>
      <c r="K31" s="1" t="s">
        <v>11</v>
      </c>
      <c r="L31" s="1" t="s">
        <v>11</v>
      </c>
      <c r="M31" s="1" t="s">
        <v>11</v>
      </c>
      <c r="N31" s="1" t="s">
        <v>11</v>
      </c>
      <c r="O31" s="1" t="str">
        <f t="shared" si="0"/>
        <v>Configured</v>
      </c>
      <c r="P31" s="2"/>
    </row>
    <row r="32" spans="1:16" ht="15.75" customHeight="1" x14ac:dyDescent="0.2">
      <c r="A32" s="1" t="s">
        <v>41</v>
      </c>
      <c r="B32" s="1" t="s">
        <v>25</v>
      </c>
      <c r="C32" s="1" t="s">
        <v>23</v>
      </c>
      <c r="D32" s="6">
        <v>45883</v>
      </c>
      <c r="E32" s="1" t="s">
        <v>23</v>
      </c>
      <c r="F32" s="1" t="s">
        <v>10</v>
      </c>
      <c r="G32" s="1" t="s">
        <v>23</v>
      </c>
      <c r="H32" s="3" t="s">
        <v>10</v>
      </c>
      <c r="I32" s="1" t="s">
        <v>10</v>
      </c>
      <c r="J32" s="1" t="s">
        <v>10</v>
      </c>
      <c r="K32" s="1" t="s">
        <v>11</v>
      </c>
      <c r="L32" s="1" t="s">
        <v>11</v>
      </c>
      <c r="M32" s="1" t="s">
        <v>11</v>
      </c>
      <c r="N32" s="1" t="s">
        <v>11</v>
      </c>
      <c r="O32" s="1" t="str">
        <f t="shared" si="0"/>
        <v>Configured</v>
      </c>
      <c r="P32" s="2"/>
    </row>
    <row r="33" spans="1:16" ht="15.75" customHeight="1" x14ac:dyDescent="0.2">
      <c r="A33" s="1" t="s">
        <v>42</v>
      </c>
      <c r="B33" s="1" t="s">
        <v>25</v>
      </c>
      <c r="C33" s="1" t="s">
        <v>23</v>
      </c>
      <c r="D33" s="6">
        <v>45860</v>
      </c>
      <c r="E33" s="1" t="s">
        <v>23</v>
      </c>
      <c r="F33" s="1" t="s">
        <v>10</v>
      </c>
      <c r="G33" s="1" t="s">
        <v>23</v>
      </c>
      <c r="H33" s="3" t="s">
        <v>10</v>
      </c>
      <c r="I33" s="1" t="s">
        <v>10</v>
      </c>
      <c r="J33" s="1" t="s">
        <v>10</v>
      </c>
      <c r="K33" s="1" t="s">
        <v>11</v>
      </c>
      <c r="L33" s="1" t="s">
        <v>11</v>
      </c>
      <c r="M33" s="1" t="s">
        <v>11</v>
      </c>
      <c r="N33" s="1" t="s">
        <v>11</v>
      </c>
      <c r="O33" s="1" t="str">
        <f t="shared" si="0"/>
        <v>Configured</v>
      </c>
      <c r="P33" s="2"/>
    </row>
    <row r="34" spans="1:16" ht="15.75" customHeight="1" x14ac:dyDescent="0.2">
      <c r="A34" s="1" t="s">
        <v>43</v>
      </c>
      <c r="B34" s="1" t="s">
        <v>25</v>
      </c>
      <c r="C34" s="1" t="s">
        <v>23</v>
      </c>
      <c r="D34" s="6">
        <v>45906</v>
      </c>
      <c r="E34" s="1" t="s">
        <v>23</v>
      </c>
      <c r="F34" s="1" t="s">
        <v>10</v>
      </c>
      <c r="G34" s="1" t="s">
        <v>23</v>
      </c>
      <c r="H34" s="3" t="s">
        <v>10</v>
      </c>
      <c r="I34" s="1" t="s">
        <v>10</v>
      </c>
      <c r="J34" s="1" t="s">
        <v>10</v>
      </c>
      <c r="K34" s="1" t="s">
        <v>11</v>
      </c>
      <c r="L34" s="1" t="s">
        <v>11</v>
      </c>
      <c r="M34" s="1" t="s">
        <v>11</v>
      </c>
      <c r="N34" s="1" t="s">
        <v>11</v>
      </c>
      <c r="O34" s="1" t="str">
        <f t="shared" si="0"/>
        <v>Configured</v>
      </c>
      <c r="P34" s="2"/>
    </row>
    <row r="35" spans="1:16" ht="15.75" customHeight="1" x14ac:dyDescent="0.2">
      <c r="A35" s="1" t="s">
        <v>44</v>
      </c>
      <c r="B35" s="1" t="s">
        <v>25</v>
      </c>
      <c r="C35" s="1" t="s">
        <v>23</v>
      </c>
      <c r="D35" s="6">
        <v>45900</v>
      </c>
      <c r="E35" s="1" t="s">
        <v>23</v>
      </c>
      <c r="F35" s="1" t="s">
        <v>10</v>
      </c>
      <c r="G35" s="1" t="s">
        <v>23</v>
      </c>
      <c r="H35" s="3" t="s">
        <v>10</v>
      </c>
      <c r="I35" s="1" t="s">
        <v>10</v>
      </c>
      <c r="J35" s="1" t="s">
        <v>10</v>
      </c>
      <c r="K35" s="1" t="s">
        <v>11</v>
      </c>
      <c r="L35" s="1" t="s">
        <v>11</v>
      </c>
      <c r="M35" s="1" t="s">
        <v>11</v>
      </c>
      <c r="N35" s="1" t="s">
        <v>11</v>
      </c>
      <c r="O35" s="1" t="str">
        <f t="shared" si="0"/>
        <v>Configured</v>
      </c>
      <c r="P35" s="2"/>
    </row>
    <row r="36" spans="1:16" ht="15.75" customHeight="1" x14ac:dyDescent="0.2">
      <c r="A36" s="1" t="s">
        <v>45</v>
      </c>
      <c r="B36" s="1" t="s">
        <v>25</v>
      </c>
      <c r="C36" s="1" t="s">
        <v>23</v>
      </c>
      <c r="D36" s="6">
        <v>45751</v>
      </c>
      <c r="E36" s="1" t="s">
        <v>23</v>
      </c>
      <c r="F36" s="1" t="s">
        <v>10</v>
      </c>
      <c r="G36" s="1" t="s">
        <v>23</v>
      </c>
      <c r="H36" s="3" t="s">
        <v>10</v>
      </c>
      <c r="I36" s="1" t="s">
        <v>10</v>
      </c>
      <c r="J36" s="1" t="s">
        <v>10</v>
      </c>
      <c r="K36" s="1" t="s">
        <v>11</v>
      </c>
      <c r="L36" s="1" t="s">
        <v>11</v>
      </c>
      <c r="M36" s="1" t="s">
        <v>11</v>
      </c>
      <c r="N36" s="1" t="s">
        <v>11</v>
      </c>
      <c r="O36" s="1" t="str">
        <f t="shared" si="0"/>
        <v>Configured</v>
      </c>
      <c r="P36" s="2"/>
    </row>
    <row r="37" spans="1:16" ht="15.75" customHeight="1" x14ac:dyDescent="0.2">
      <c r="A37" s="1" t="s">
        <v>46</v>
      </c>
      <c r="B37" s="1" t="s">
        <v>25</v>
      </c>
      <c r="C37" s="1" t="s">
        <v>23</v>
      </c>
      <c r="D37" s="6">
        <v>45898</v>
      </c>
      <c r="E37" s="1" t="s">
        <v>23</v>
      </c>
      <c r="F37" s="1" t="s">
        <v>10</v>
      </c>
      <c r="G37" s="1" t="s">
        <v>23</v>
      </c>
      <c r="H37" s="3" t="s">
        <v>10</v>
      </c>
      <c r="I37" s="1" t="s">
        <v>10</v>
      </c>
      <c r="J37" s="1" t="s">
        <v>10</v>
      </c>
      <c r="K37" s="1" t="s">
        <v>11</v>
      </c>
      <c r="L37" s="1" t="s">
        <v>11</v>
      </c>
      <c r="M37" s="1" t="s">
        <v>11</v>
      </c>
      <c r="N37" s="1" t="s">
        <v>11</v>
      </c>
      <c r="O37" s="1" t="str">
        <f t="shared" si="0"/>
        <v>Configured</v>
      </c>
      <c r="P37" s="2"/>
    </row>
    <row r="38" spans="1:16" ht="15.75" customHeight="1" x14ac:dyDescent="0.2"/>
    <row r="39" spans="1:16" ht="15.75" customHeight="1" x14ac:dyDescent="0.2"/>
    <row r="40" spans="1:16" ht="15.75" customHeight="1" x14ac:dyDescent="0.2"/>
    <row r="41" spans="1:16" ht="15.75" customHeight="1" x14ac:dyDescent="0.2"/>
    <row r="42" spans="1:16" ht="15.75" customHeight="1" x14ac:dyDescent="0.2"/>
    <row r="43" spans="1:16" ht="15.75" customHeight="1" x14ac:dyDescent="0.2"/>
    <row r="44" spans="1:16" ht="15.75" customHeight="1" x14ac:dyDescent="0.2"/>
    <row r="45" spans="1:16" ht="15.75" customHeight="1" x14ac:dyDescent="0.2"/>
    <row r="46" spans="1:16" ht="15.75" customHeight="1" x14ac:dyDescent="0.2"/>
    <row r="47" spans="1:16" ht="15.75" customHeight="1" x14ac:dyDescent="0.2"/>
    <row r="48" spans="1:1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</sheetData>
  <autoFilter ref="A1:P37" xr:uid="{00000000-0001-0000-0200-000000000000}">
    <sortState xmlns:xlrd2="http://schemas.microsoft.com/office/spreadsheetml/2017/richdata2" ref="A2:P37">
      <sortCondition ref="C1:C37"/>
    </sortState>
  </autoFilter>
  <phoneticPr fontId="4" type="noConversion"/>
  <conditionalFormatting sqref="I2:I37 J6:J7">
    <cfRule type="cellIs" dxfId="2" priority="3" operator="equal">
      <formula>"NO"</formula>
    </cfRule>
  </conditionalFormatting>
  <conditionalFormatting sqref="O2:O37">
    <cfRule type="expression" dxfId="1" priority="1">
      <formula>$O2="Complete"</formula>
    </cfRule>
    <cfRule type="expression" dxfId="0" priority="2">
      <formula>$O2&lt;&gt;"Complete"</formula>
    </cfRule>
  </conditionalFormatting>
  <dataValidations count="3">
    <dataValidation type="list" allowBlank="1" sqref="O2:O37" xr:uid="{00000000-0002-0000-0200-000000000000}">
      <formula1>"Green,Amber,Red"</formula1>
    </dataValidation>
    <dataValidation type="list" allowBlank="1" sqref="I2:N37" xr:uid="{00000000-0002-0000-0200-000001000000}">
      <formula1>"Yes,No,N/A"</formula1>
    </dataValidation>
    <dataValidation type="list" allowBlank="1" showInputMessage="1" sqref="C2:C37" xr:uid="{B99F4092-36F8-AB4B-ABB4-F17C850A4616}">
      <formula1>"YES,NO"</formula1>
    </dataValidation>
  </dataValidations>
  <pageMargins left="0.7" right="0.7" top="0.75" bottom="0.75" header="0" footer="0"/>
  <pageSetup orientation="landscape"/>
  <headerFooter>
    <oddHeader>&amp;L &amp;C &amp;RBaker Aviation ForeFlight Transition POA</oddHeader>
    <oddFooter>&amp;RPage &amp;P of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B14C-762B-494A-9F90-301ABC510A00}">
  <dimension ref="A1:C35"/>
  <sheetViews>
    <sheetView zoomScale="85" zoomScaleNormal="80" workbookViewId="0">
      <selection activeCell="N10" sqref="N10"/>
    </sheetView>
  </sheetViews>
  <sheetFormatPr baseColWidth="10" defaultRowHeight="21" x14ac:dyDescent="0.25"/>
  <cols>
    <col min="2" max="2" width="23" style="11" customWidth="1"/>
  </cols>
  <sheetData>
    <row r="1" spans="1:3" x14ac:dyDescent="0.25">
      <c r="A1" s="3" t="s">
        <v>109</v>
      </c>
      <c r="B1" s="11" t="s">
        <v>60</v>
      </c>
      <c r="C1" s="10" t="s">
        <v>61</v>
      </c>
    </row>
    <row r="2" spans="1:3" x14ac:dyDescent="0.25">
      <c r="A2" s="3" t="s">
        <v>110</v>
      </c>
      <c r="B2" s="11" t="s">
        <v>18</v>
      </c>
      <c r="C2" s="13" t="s">
        <v>62</v>
      </c>
    </row>
    <row r="3" spans="1:3" x14ac:dyDescent="0.25">
      <c r="A3" s="3" t="s">
        <v>111</v>
      </c>
      <c r="B3" s="11" t="s">
        <v>58</v>
      </c>
      <c r="C3" s="10" t="s">
        <v>63</v>
      </c>
    </row>
    <row r="4" spans="1:3" x14ac:dyDescent="0.25">
      <c r="A4" s="3" t="s">
        <v>112</v>
      </c>
      <c r="B4" s="11" t="s">
        <v>20</v>
      </c>
      <c r="C4" s="10" t="s">
        <v>64</v>
      </c>
    </row>
    <row r="5" spans="1:3" x14ac:dyDescent="0.25">
      <c r="A5" s="3" t="s">
        <v>113</v>
      </c>
      <c r="B5" s="11" t="s">
        <v>57</v>
      </c>
      <c r="C5" s="10" t="s">
        <v>65</v>
      </c>
    </row>
    <row r="6" spans="1:3" x14ac:dyDescent="0.25">
      <c r="A6" s="3" t="s">
        <v>114</v>
      </c>
      <c r="B6" s="11" t="s">
        <v>24</v>
      </c>
      <c r="C6" s="10" t="s">
        <v>66</v>
      </c>
    </row>
    <row r="7" spans="1:3" x14ac:dyDescent="0.25">
      <c r="A7" s="3" t="s">
        <v>115</v>
      </c>
      <c r="B7" s="11" t="s">
        <v>34</v>
      </c>
      <c r="C7" s="10" t="s">
        <v>67</v>
      </c>
    </row>
    <row r="8" spans="1:3" x14ac:dyDescent="0.25">
      <c r="A8" s="3" t="s">
        <v>116</v>
      </c>
      <c r="B8" s="11" t="s">
        <v>33</v>
      </c>
      <c r="C8" s="10" t="s">
        <v>68</v>
      </c>
    </row>
    <row r="9" spans="1:3" x14ac:dyDescent="0.25">
      <c r="A9" s="3" t="s">
        <v>117</v>
      </c>
      <c r="B9" s="11" t="s">
        <v>14</v>
      </c>
      <c r="C9" s="10" t="s">
        <v>69</v>
      </c>
    </row>
    <row r="10" spans="1:3" x14ac:dyDescent="0.25">
      <c r="A10" s="3" t="s">
        <v>110</v>
      </c>
      <c r="B10" s="11" t="s">
        <v>18</v>
      </c>
      <c r="C10" s="10" t="s">
        <v>70</v>
      </c>
    </row>
    <row r="11" spans="1:3" x14ac:dyDescent="0.25">
      <c r="A11" s="3" t="s">
        <v>118</v>
      </c>
      <c r="B11" s="11" t="s">
        <v>16</v>
      </c>
      <c r="C11" s="10" t="s">
        <v>71</v>
      </c>
    </row>
    <row r="12" spans="1:3" x14ac:dyDescent="0.25">
      <c r="A12" s="3" t="s">
        <v>119</v>
      </c>
      <c r="B12" s="11" t="s">
        <v>28</v>
      </c>
      <c r="C12" s="10" t="s">
        <v>72</v>
      </c>
    </row>
    <row r="13" spans="1:3" x14ac:dyDescent="0.25">
      <c r="A13" s="3" t="s">
        <v>120</v>
      </c>
      <c r="B13" s="11" t="s">
        <v>40</v>
      </c>
      <c r="C13" s="10" t="s">
        <v>73</v>
      </c>
    </row>
    <row r="14" spans="1:3" x14ac:dyDescent="0.25">
      <c r="A14" s="3" t="s">
        <v>121</v>
      </c>
      <c r="B14" s="11" t="s">
        <v>38</v>
      </c>
      <c r="C14" s="10" t="s">
        <v>74</v>
      </c>
    </row>
    <row r="15" spans="1:3" x14ac:dyDescent="0.25">
      <c r="A15" s="3" t="s">
        <v>122</v>
      </c>
      <c r="B15" s="11" t="s">
        <v>42</v>
      </c>
      <c r="C15" s="10" t="s">
        <v>75</v>
      </c>
    </row>
    <row r="16" spans="1:3" x14ac:dyDescent="0.25">
      <c r="A16" s="3" t="s">
        <v>123</v>
      </c>
      <c r="B16" s="11" t="s">
        <v>39</v>
      </c>
      <c r="C16" s="10" t="s">
        <v>76</v>
      </c>
    </row>
    <row r="17" spans="1:3" x14ac:dyDescent="0.25">
      <c r="A17" s="3" t="s">
        <v>124</v>
      </c>
      <c r="B17" s="11" t="s">
        <v>26</v>
      </c>
      <c r="C17" s="10" t="s">
        <v>77</v>
      </c>
    </row>
    <row r="18" spans="1:3" x14ac:dyDescent="0.25">
      <c r="A18" s="3" t="s">
        <v>125</v>
      </c>
      <c r="B18" s="11" t="s">
        <v>46</v>
      </c>
      <c r="C18" s="10" t="s">
        <v>78</v>
      </c>
    </row>
    <row r="19" spans="1:3" x14ac:dyDescent="0.25">
      <c r="A19" s="3" t="s">
        <v>126</v>
      </c>
      <c r="B19" s="11" t="s">
        <v>36</v>
      </c>
      <c r="C19" s="10" t="s">
        <v>79</v>
      </c>
    </row>
    <row r="20" spans="1:3" x14ac:dyDescent="0.25">
      <c r="A20" s="3" t="s">
        <v>127</v>
      </c>
      <c r="B20" s="11" t="s">
        <v>31</v>
      </c>
      <c r="C20" s="10" t="s">
        <v>80</v>
      </c>
    </row>
    <row r="21" spans="1:3" x14ac:dyDescent="0.25">
      <c r="A21" s="3" t="s">
        <v>128</v>
      </c>
      <c r="B21" s="11" t="s">
        <v>29</v>
      </c>
      <c r="C21" s="10" t="s">
        <v>81</v>
      </c>
    </row>
    <row r="22" spans="1:3" x14ac:dyDescent="0.25">
      <c r="A22" s="3" t="s">
        <v>129</v>
      </c>
      <c r="B22" s="11" t="s">
        <v>41</v>
      </c>
      <c r="C22" s="10" t="s">
        <v>82</v>
      </c>
    </row>
    <row r="23" spans="1:3" x14ac:dyDescent="0.25">
      <c r="A23" s="3" t="s">
        <v>130</v>
      </c>
      <c r="B23" s="11" t="s">
        <v>37</v>
      </c>
      <c r="C23" s="10" t="s">
        <v>83</v>
      </c>
    </row>
    <row r="24" spans="1:3" x14ac:dyDescent="0.25">
      <c r="A24" s="3" t="s">
        <v>131</v>
      </c>
      <c r="B24" s="11" t="s">
        <v>30</v>
      </c>
      <c r="C24" s="10" t="s">
        <v>84</v>
      </c>
    </row>
    <row r="25" spans="1:3" x14ac:dyDescent="0.25">
      <c r="A25" s="3" t="s">
        <v>108</v>
      </c>
      <c r="B25" s="11" t="s">
        <v>27</v>
      </c>
      <c r="C25" s="10" t="s">
        <v>85</v>
      </c>
    </row>
    <row r="26" spans="1:3" ht="20" x14ac:dyDescent="0.2">
      <c r="A26" s="3" t="s">
        <v>107</v>
      </c>
      <c r="B26" s="12" t="s">
        <v>35</v>
      </c>
      <c r="C26" s="10" t="s">
        <v>86</v>
      </c>
    </row>
    <row r="27" spans="1:3" x14ac:dyDescent="0.25">
      <c r="A27" s="3" t="s">
        <v>106</v>
      </c>
      <c r="B27" s="11" t="s">
        <v>87</v>
      </c>
      <c r="C27" s="10" t="s">
        <v>88</v>
      </c>
    </row>
    <row r="28" spans="1:3" x14ac:dyDescent="0.25">
      <c r="A28" s="3" t="s">
        <v>105</v>
      </c>
      <c r="B28" s="11" t="s">
        <v>45</v>
      </c>
      <c r="C28" s="10" t="s">
        <v>89</v>
      </c>
    </row>
    <row r="29" spans="1:3" x14ac:dyDescent="0.25">
      <c r="A29" s="3" t="s">
        <v>104</v>
      </c>
      <c r="B29" s="11" t="s">
        <v>43</v>
      </c>
      <c r="C29" s="10" t="s">
        <v>90</v>
      </c>
    </row>
    <row r="30" spans="1:3" x14ac:dyDescent="0.25">
      <c r="A30" s="3" t="s">
        <v>132</v>
      </c>
      <c r="B30" s="11" t="s">
        <v>32</v>
      </c>
      <c r="C30" s="10" t="s">
        <v>91</v>
      </c>
    </row>
    <row r="31" spans="1:3" ht="20" x14ac:dyDescent="0.2">
      <c r="A31" s="3" t="s">
        <v>133</v>
      </c>
      <c r="B31" s="12" t="s">
        <v>44</v>
      </c>
      <c r="C31" s="10" t="s">
        <v>92</v>
      </c>
    </row>
    <row r="32" spans="1:3" x14ac:dyDescent="0.25">
      <c r="A32" s="3" t="s">
        <v>134</v>
      </c>
      <c r="B32" s="11" t="s">
        <v>21</v>
      </c>
      <c r="C32" s="10" t="s">
        <v>93</v>
      </c>
    </row>
    <row r="33" spans="1:3" x14ac:dyDescent="0.25">
      <c r="A33" s="3" t="s">
        <v>135</v>
      </c>
      <c r="B33" s="11" t="s">
        <v>22</v>
      </c>
      <c r="C33" s="10" t="s">
        <v>94</v>
      </c>
    </row>
    <row r="34" spans="1:3" x14ac:dyDescent="0.25">
      <c r="A34" s="3" t="s">
        <v>136</v>
      </c>
      <c r="B34" s="11" t="s">
        <v>95</v>
      </c>
      <c r="C34" s="10" t="s">
        <v>96</v>
      </c>
    </row>
    <row r="35" spans="1:3" x14ac:dyDescent="0.25">
      <c r="A35" s="3" t="s">
        <v>137</v>
      </c>
      <c r="B35" s="11" t="s">
        <v>19</v>
      </c>
      <c r="C35" s="10" t="s">
        <v>97</v>
      </c>
    </row>
  </sheetData>
  <hyperlinks>
    <hyperlink ref="C2" r:id="rId1" xr:uid="{C9BA6DDB-8F13-4B4C-9885-654DCC5010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Aircraft Tracker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Thomas</cp:lastModifiedBy>
  <dcterms:created xsi:type="dcterms:W3CDTF">2026-01-12T12:31:39Z</dcterms:created>
  <dcterms:modified xsi:type="dcterms:W3CDTF">2026-03-27T08:31:39Z</dcterms:modified>
</cp:coreProperties>
</file>